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1"/>
  </bookViews>
  <sheets>
    <sheet name="表1-费用统计-此表无需打印" sheetId="4" r:id="rId1"/>
    <sheet name="表2—差旅费报账明细表（工程出差+成本出差都需要打印）" sheetId="3" r:id="rId2"/>
    <sheet name="表3工程联调测试费报销情况表-仅工程出差需打印" sheetId="5" r:id="rId3"/>
    <sheet name="Sheet1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<sst xmlns="http://schemas.openxmlformats.org/spreadsheetml/2006/main" count="117" uniqueCount="86">
  <si>
    <t>姓名</t>
  </si>
  <si>
    <t>报销所属工程项目组</t>
  </si>
  <si>
    <t>发起报销日期</t>
  </si>
  <si>
    <t>出发时间</t>
  </si>
  <si>
    <t>返回时间</t>
  </si>
  <si>
    <t>出差总自然日天数</t>
  </si>
  <si>
    <t>出差总工作日天数</t>
  </si>
  <si>
    <r>
      <rPr>
        <b/>
        <sz val="10"/>
        <color rgb="FF000000"/>
        <rFont val="宋体"/>
        <charset val="134"/>
      </rPr>
      <t>可领取每日补贴金额：       （情况1：</t>
    </r>
    <r>
      <rPr>
        <b/>
        <sz val="10"/>
        <color rgb="FFFF0000"/>
        <rFont val="宋体"/>
        <charset val="134"/>
      </rPr>
      <t>同一事项出差累积不满30天</t>
    </r>
    <r>
      <rPr>
        <b/>
        <sz val="10"/>
        <color rgb="FF000000"/>
        <rFont val="宋体"/>
        <charset val="134"/>
      </rPr>
      <t>，此项金额=工作日*180/天（包含伙食补贴100/天，交通补助80/天）                           情况2：同一出差事项出差日期累积超过30自然日，此项金额=工作日*50/天）
情况3：出差属于成本出差-行政管理-培训，此项金额=360</t>
    </r>
  </si>
  <si>
    <t>差旅平台预定的火车票总额</t>
  </si>
  <si>
    <t>差旅平台预定的住宿费总额</t>
  </si>
  <si>
    <t>12306预定的火车票总额</t>
  </si>
  <si>
    <t>非差旅平台预定的住宿费总额</t>
  </si>
  <si>
    <t>此次报销可领取的金额（同一事项出差累）</t>
  </si>
  <si>
    <t>差旅平台垫付总额金额</t>
  </si>
  <si>
    <t>此次报销花费的联调测试费金额（包含你能领取的金额+差旅平台垫付的火车票费用和住宿费费用）</t>
  </si>
  <si>
    <t>张振奎（示例）</t>
  </si>
  <si>
    <t>国际业务系统2025年新增功能工程</t>
  </si>
  <si>
    <t>XXX</t>
  </si>
  <si>
    <t>（在这列新增）</t>
  </si>
  <si>
    <t>请将上述本人报销信息复制到以下在线链接进行登记【金山文档 | WPS云文档】 联调测试费登记表-一处（一定要登记）</t>
  </si>
  <si>
    <t>如遇到法定节假日和调休情况请手动计算自然日天数</t>
  </si>
  <si>
    <t>这一列需要注意的是：
表格里的公式只适用于单次出差不满足30个自然日的情况，如果本人属于本年度（1）多次因为同一个事情出差，多个申请单累积满了30个自然日，或（2）单次出差超过30个自然日每笔出差申请单可领取的补贴数都按照50/一天*工作日天数进行报销</t>
  </si>
  <si>
    <t>https://www.kdocs.cn/l/cnKpDW45Nk1j</t>
  </si>
  <si>
    <t>差旅费报账明细表</t>
  </si>
  <si>
    <t>序号</t>
  </si>
  <si>
    <t>出差人姓名
（行程一致的可填写多人）</t>
  </si>
  <si>
    <t>日期</t>
  </si>
  <si>
    <t>行程</t>
  </si>
  <si>
    <t>城市间
交通费</t>
  </si>
  <si>
    <t>住宿费
（合计数）</t>
  </si>
  <si>
    <t>伙食补助</t>
  </si>
  <si>
    <t>市内交通费</t>
  </si>
  <si>
    <t>专项补助</t>
  </si>
  <si>
    <t>其他凭票报销的费用</t>
  </si>
  <si>
    <t>合计金额
（元）</t>
  </si>
  <si>
    <t>备注</t>
  </si>
  <si>
    <t>2025/8/31（火车票上的日期，注意日期格式）</t>
  </si>
  <si>
    <t>苏州-北京</t>
  </si>
  <si>
    <t>0（仅写12306预定的去程交通费，如在差旅平台预定，此项金额为0）</t>
  </si>
  <si>
    <t>（仅写自己垫付的住宿费总金额，如在差旅平台预定，此项金额为0）</t>
  </si>
  <si>
    <r>
      <rPr>
        <sz val="12"/>
        <rFont val="宋体"/>
        <charset val="134"/>
        <scheme val="minor"/>
      </rPr>
      <t>500（此模板人员本年度多次因同一事项出差，累积超30天，此次补贴为报销10*50=500）</t>
    </r>
    <r>
      <rPr>
        <sz val="12"/>
        <color rgb="FFFF0000"/>
        <rFont val="宋体"/>
        <charset val="134"/>
        <scheme val="minor"/>
      </rPr>
      <t xml:space="preserve">
（1.累积出差自然日不超过30天，或者单次出差超过30个自然日，此项金额=100*工作日天数.
2.多次累积出差超过30个自然日，或者单次出差超过30个自然日，此项金额=工作日天数*50
3.出差属于成本出差-行政管理-培训，此项金额=200</t>
    </r>
  </si>
  <si>
    <t>（1.多次累积出差不超过30个自然日，或者单次出差不超过30个自然日，此项金额=80*工作日天数.
2.累积出差日期超过30天，此项金额不填写，默认为0）
3.出差属于成本出差-行政管理-培训，此项金额=160</t>
  </si>
  <si>
    <t>默认不填</t>
  </si>
  <si>
    <r>
      <rPr>
        <sz val="12"/>
        <rFont val="宋体"/>
        <charset val="134"/>
        <scheme val="minor"/>
      </rPr>
      <t>1.（此模板人员去程交通费在差旅平台预定，回程交通费在12306预定）则备注“</t>
    </r>
    <r>
      <rPr>
        <sz val="12"/>
        <color rgb="FFFF0000"/>
        <rFont val="宋体"/>
        <charset val="134"/>
        <scheme val="minor"/>
      </rPr>
      <t>去程火车票通过差旅平台预定，住宿费通过差旅平台预定，统一结算</t>
    </r>
    <r>
      <rPr>
        <sz val="12"/>
        <rFont val="宋体"/>
        <charset val="134"/>
        <scheme val="minor"/>
      </rPr>
      <t>”
2.如交通费和住宿费都在差旅平台预定，请备注“</t>
    </r>
    <r>
      <rPr>
        <sz val="12"/>
        <color rgb="FFFF0000"/>
        <rFont val="宋体"/>
        <charset val="134"/>
        <scheme val="minor"/>
      </rPr>
      <t>通过差旅平台预定，统一结算</t>
    </r>
    <r>
      <rPr>
        <sz val="12"/>
        <rFont val="宋体"/>
        <charset val="134"/>
        <scheme val="minor"/>
      </rPr>
      <t>”
3.都线下预订，没有在差旅平台预定交通费和住宿费，此项不备注</t>
    </r>
  </si>
  <si>
    <t>2025/9/12（火车票上的日期）</t>
  </si>
  <si>
    <t>北京-苏州</t>
  </si>
  <si>
    <t>627（仅写12306预定的返程交通费，如在差旅平台预定，此项金额为0）</t>
  </si>
  <si>
    <t>默认为0</t>
  </si>
  <si>
    <t>合计</t>
  </si>
  <si>
    <t>——</t>
  </si>
  <si>
    <t>住宿信息</t>
  </si>
  <si>
    <t>出差人姓名</t>
  </si>
  <si>
    <t>地点</t>
  </si>
  <si>
    <t>住宿日期</t>
  </si>
  <si>
    <t>住宿天数</t>
  </si>
  <si>
    <t>住宿人数</t>
  </si>
  <si>
    <r>
      <rPr>
        <b/>
        <sz val="14"/>
        <color rgb="FF000000"/>
        <rFont val="宋体"/>
        <charset val="134"/>
      </rPr>
      <t>住宿费单价</t>
    </r>
    <r>
      <rPr>
        <b/>
        <sz val="14"/>
        <color indexed="8"/>
        <rFont val="宋体"/>
        <charset val="134"/>
      </rPr>
      <t>（元/人/天）
（据实计算）</t>
    </r>
  </si>
  <si>
    <r>
      <rPr>
        <sz val="15"/>
        <color rgb="FF000000"/>
        <rFont val="宋体"/>
        <charset val="134"/>
      </rPr>
      <t>通过差旅平台统一预定，不产生住宿费</t>
    </r>
    <r>
      <rPr>
        <sz val="15"/>
        <color rgb="FFFF0000"/>
        <rFont val="宋体"/>
        <charset val="134"/>
      </rPr>
      <t>（如非差旅平台预定请按照格式填写，括号里的内容打印的时候要删掉！！！）</t>
    </r>
  </si>
  <si>
    <t>备注：1.本表标黄部分为公式，请不要修改，表中可增加行次。
      2.其他凭票报销的费用，包括出差中途的伙食费、市内交通费、退改签费、核酸检测费等。</t>
  </si>
  <si>
    <t>工程联调测试费及建设单位管理费报销情况表</t>
  </si>
  <si>
    <t>项目序号</t>
  </si>
  <si>
    <t>项目名称</t>
  </si>
  <si>
    <t>立项文号</t>
  </si>
  <si>
    <t>费用类型</t>
  </si>
  <si>
    <t>费用发生人</t>
  </si>
  <si>
    <t>发票张数</t>
  </si>
  <si>
    <t>可报销金额（元）</t>
  </si>
  <si>
    <t>备注
（累计探亲次数，餐费日期，加班交通费月份）</t>
  </si>
  <si>
    <t>项目经理签字</t>
  </si>
  <si>
    <t>项目负责人签字</t>
  </si>
  <si>
    <t>邮银发〔2025〕72号</t>
  </si>
  <si>
    <t>差旅费</t>
  </si>
  <si>
    <t>居志强</t>
  </si>
  <si>
    <t>（火车票电子发票+增值税发票需要计算）</t>
  </si>
  <si>
    <t>张振奎</t>
  </si>
  <si>
    <r>
      <rPr>
        <b/>
        <sz val="11"/>
        <rFont val="宋体"/>
        <charset val="134"/>
      </rPr>
      <t>1800</t>
    </r>
    <r>
      <rPr>
        <b/>
        <sz val="11"/>
        <color rgb="FFFF0000"/>
        <rFont val="宋体"/>
        <charset val="134"/>
      </rPr>
      <t xml:space="preserve">（等于表1 “M”列总金额，即本次实际自己可以领取的钱） </t>
    </r>
  </si>
  <si>
    <t>项目小计</t>
  </si>
  <si>
    <r>
      <rPr>
        <b/>
        <sz val="10"/>
        <color rgb="FF000000"/>
        <rFont val="宋体"/>
        <charset val="134"/>
      </rPr>
      <t>国际业务系统2025年新增功能工程联调测试费/建设单位管理费预算金额：18万元</t>
    </r>
    <r>
      <rPr>
        <b/>
        <sz val="10"/>
        <color rgb="FFFF0000"/>
        <rFont val="宋体"/>
        <charset val="134"/>
      </rPr>
      <t>（固定数据，项目经理都知道）</t>
    </r>
  </si>
  <si>
    <r>
      <rPr>
        <b/>
        <sz val="10"/>
        <color rgb="FF000000"/>
        <rFont val="宋体"/>
        <charset val="134"/>
      </rPr>
      <t>截至本次联调测试费/建设单位管理费发生金额合计金额（含该笔报账单和本批次报销的其他报账单）：</t>
    </r>
    <r>
      <rPr>
        <b/>
        <sz val="10"/>
        <color rgb="FFFF0000"/>
        <rFont val="宋体"/>
        <charset val="134"/>
      </rPr>
      <t>27518元(=原来发生的总金额+表1“O”列的总金额)即本次出差自己所使用的联调测试费总金额</t>
    </r>
  </si>
  <si>
    <t>注：（1）餐费报销一次加班填写一行；
    （2）加班交通费及探亲交通费一人填写一行；
    （3）每张发票旁需注明项目名称及费用发生人；
    （4）与费用相关的附件应随发票一起粘贴（如发票检验真伪、借调函等）；
    （5）备注栏用于填写累计探亲次数。</t>
  </si>
  <si>
    <t>电子保函生态应用系统工程</t>
  </si>
  <si>
    <t>邮银发〔2024〕146号</t>
  </si>
  <si>
    <t>联调测试费-其他</t>
  </si>
  <si>
    <t>马国兵</t>
  </si>
  <si>
    <t>国际业务系统2025年新增功能工程联调测试费/建设单位管理费预算金额：310000元</t>
  </si>
  <si>
    <t>截至本次联调测试费/建设单位管理费发生金额合计金额（含该笔报账单和本批次报销的其他报账单）：5000元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</si>
</sst>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</numFmts>
  <fonts count="44">
    <font>
      <sz val="11"/>
      <color theme="1"/>
      <name val="宋体"/>
      <charset val="134"/>
      <scheme val="minor"/>
    </font>
    <font>
      <b/>
      <sz val="18"/>
      <color theme="1"/>
      <name val="方正小标宋简体"/>
      <charset val="134"/>
    </font>
    <font>
      <b/>
      <sz val="10"/>
      <color rgb="FF000000"/>
      <name val="宋体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sz val="15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5"/>
      <color rgb="FFFF0000"/>
      <name val="宋体"/>
      <charset val="134"/>
      <scheme val="minor"/>
    </font>
    <font>
      <b/>
      <sz val="14"/>
      <color theme="1"/>
      <name val="宋体"/>
      <charset val="134"/>
    </font>
    <font>
      <b/>
      <sz val="14"/>
      <color indexed="8"/>
      <name val="宋体"/>
      <charset val="134"/>
    </font>
    <font>
      <b/>
      <sz val="14"/>
      <name val="宋体"/>
      <charset val="134"/>
    </font>
    <font>
      <sz val="12"/>
      <name val="宋体"/>
      <charset val="134"/>
      <scheme val="minor"/>
    </font>
    <font>
      <sz val="15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5"/>
      <color rgb="FF000000"/>
      <name val="宋体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宋体"/>
      <charset val="134"/>
    </font>
    <font>
      <sz val="15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5" borderId="12" applyNumberFormat="0" applyAlignment="0" applyProtection="0">
      <alignment vertical="center"/>
    </xf>
    <xf numFmtId="0" fontId="32" fillId="6" borderId="13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4" fillId="7" borderId="14" applyNumberFormat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176" fontId="13" fillId="0" borderId="4" xfId="0" applyNumberFormat="1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176" fontId="11" fillId="0" borderId="4" xfId="0" applyNumberFormat="1" applyFont="1" applyBorder="1">
      <alignment vertical="center"/>
    </xf>
    <xf numFmtId="176" fontId="11" fillId="2" borderId="4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176" fontId="11" fillId="0" borderId="4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6" fontId="15" fillId="2" borderId="1" xfId="0" applyNumberFormat="1" applyFont="1" applyFill="1" applyBorder="1" applyAlignment="1">
      <alignment horizontal="center" vertical="center" wrapText="1"/>
    </xf>
    <xf numFmtId="176" fontId="15" fillId="2" borderId="4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176" fontId="19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20" fillId="0" borderId="0" xfId="0" applyFont="1">
      <alignment vertical="center"/>
    </xf>
    <xf numFmtId="177" fontId="0" fillId="0" borderId="0" xfId="0" applyNumberFormat="1">
      <alignment vertical="center"/>
    </xf>
    <xf numFmtId="0" fontId="2" fillId="3" borderId="5" xfId="0" applyFont="1" applyFill="1" applyBorder="1">
      <alignment vertical="center"/>
    </xf>
    <xf numFmtId="0" fontId="2" fillId="3" borderId="5" xfId="0" applyFont="1" applyFill="1" applyBorder="1" applyAlignment="1">
      <alignment vertical="center" wrapText="1"/>
    </xf>
    <xf numFmtId="177" fontId="2" fillId="3" borderId="5" xfId="0" applyNumberFormat="1" applyFont="1" applyFill="1" applyBorder="1">
      <alignment vertical="center"/>
    </xf>
    <xf numFmtId="0" fontId="21" fillId="0" borderId="5" xfId="0" applyFont="1" applyBorder="1">
      <alignment vertical="center"/>
    </xf>
    <xf numFmtId="177" fontId="21" fillId="0" borderId="5" xfId="0" applyNumberFormat="1" applyFont="1" applyBorder="1">
      <alignment vertical="center"/>
    </xf>
    <xf numFmtId="0" fontId="21" fillId="0" borderId="5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docs.cn/l/cnKpDW45Nk1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B5" sqref="B4:B5"/>
    </sheetView>
  </sheetViews>
  <sheetFormatPr defaultColWidth="8.72727272727273" defaultRowHeight="14" outlineLevelRow="4"/>
  <cols>
    <col min="1" max="1" width="21" customWidth="1"/>
    <col min="2" max="2" width="50.4545454545455" customWidth="1"/>
    <col min="4" max="4" width="11.5454545454545" style="50"/>
    <col min="5" max="5" width="12.8181818181818" style="50"/>
    <col min="8" max="8" width="29.4545454545455" customWidth="1"/>
  </cols>
  <sheetData>
    <row r="1" ht="174" customHeight="1" spans="1:15">
      <c r="A1" s="51" t="s">
        <v>0</v>
      </c>
      <c r="B1" s="52" t="s">
        <v>1</v>
      </c>
      <c r="C1" s="52" t="s">
        <v>2</v>
      </c>
      <c r="D1" s="53" t="s">
        <v>3</v>
      </c>
      <c r="E1" s="53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</row>
    <row r="2" s="49" customFormat="1" ht="51" customHeight="1" spans="1:15">
      <c r="A2" s="54" t="s">
        <v>15</v>
      </c>
      <c r="B2" s="54" t="s">
        <v>16</v>
      </c>
      <c r="C2" s="54">
        <v>11.1</v>
      </c>
      <c r="D2" s="55">
        <v>45915</v>
      </c>
      <c r="E2" s="55">
        <v>45927</v>
      </c>
      <c r="F2" s="56">
        <f>E2-D2+1</f>
        <v>13</v>
      </c>
      <c r="G2" s="56">
        <f>NETWORKDAYS(D2,E2)</f>
        <v>10</v>
      </c>
      <c r="H2" s="56">
        <f>IF(F2&gt;30,50*G2,180*G2)</f>
        <v>1800</v>
      </c>
      <c r="I2" s="56">
        <v>1254</v>
      </c>
      <c r="J2" s="56">
        <v>5856</v>
      </c>
      <c r="K2" s="56">
        <v>0</v>
      </c>
      <c r="L2" s="56">
        <v>0</v>
      </c>
      <c r="M2" s="56">
        <f>H2+K2+L2</f>
        <v>1800</v>
      </c>
      <c r="N2" s="56">
        <f>I2+J2</f>
        <v>7110</v>
      </c>
      <c r="O2" s="56">
        <f>H2+I2+J2+K2+L2</f>
        <v>8910</v>
      </c>
    </row>
    <row r="3" ht="49" customHeight="1" spans="1:15">
      <c r="A3" s="49" t="s">
        <v>17</v>
      </c>
      <c r="B3" s="57" t="s">
        <v>18</v>
      </c>
      <c r="F3" s="58">
        <f>E3-D3+1</f>
        <v>1</v>
      </c>
      <c r="G3" s="58">
        <f>NETWORKDAYS(D3,E3)</f>
        <v>0</v>
      </c>
      <c r="H3" s="58">
        <f>IF(F3&gt;30,50*G3,180*G3)</f>
        <v>0</v>
      </c>
      <c r="I3" s="56"/>
      <c r="M3" s="56">
        <f>H3+K3+L3</f>
        <v>0</v>
      </c>
      <c r="N3" s="56">
        <f>I3+J3</f>
        <v>0</v>
      </c>
      <c r="O3" s="56">
        <f>H3+I3+J3+K3+L3</f>
        <v>0</v>
      </c>
    </row>
    <row r="4" ht="155" customHeight="1" spans="1:15">
      <c r="B4" s="59" t="s">
        <v>19</v>
      </c>
      <c r="G4" s="57" t="s">
        <v>20</v>
      </c>
      <c r="H4" s="57" t="s">
        <v>21</v>
      </c>
    </row>
    <row r="5" spans="1:15">
      <c r="B5" s="60" t="s">
        <v>22</v>
      </c>
    </row>
  </sheetData>
  <hyperlinks>
    <hyperlink ref="B5" r:id="rId1" display="https://www.kdocs.cn/l/cnKpDW45Nk1j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9"/>
  <sheetViews>
    <sheetView tabSelected="1" zoomScale="90" zoomScaleNormal="90" topLeftCell="A3" workbookViewId="0">
      <selection activeCell="A1" sqref="$A1:$XFD1"/>
    </sheetView>
  </sheetViews>
  <sheetFormatPr defaultColWidth="8" defaultRowHeight="18.5"/>
  <cols>
    <col min="1" max="1" width="6.90909090909091" style="11" customWidth="1"/>
    <col min="2" max="2" width="21.2727272727273" style="11" customWidth="1"/>
    <col min="3" max="3" width="24.8454545454545" style="11" customWidth="1"/>
    <col min="4" max="4" width="34" style="11" customWidth="1"/>
    <col min="5" max="5" width="34.9090909090909" style="14" customWidth="1"/>
    <col min="6" max="6" width="13.4545454545455" style="14" customWidth="1"/>
    <col min="7" max="7" width="48.4818181818182" style="14" customWidth="1"/>
    <col min="8" max="8" width="30.7272727272727" style="14" customWidth="1"/>
    <col min="9" max="9" width="13.0909090909091" style="11" customWidth="1"/>
    <col min="10" max="10" width="13.9090909090909" style="11" customWidth="1"/>
    <col min="11" max="11" width="12.9090909090909" style="11" customWidth="1"/>
    <col min="12" max="12" width="26.9090909090909" style="11" customWidth="1"/>
    <col min="13" max="16384" width="8" style="11"/>
  </cols>
  <sheetData>
    <row r="1" s="11" customFormat="1" ht="50.15" customHeight="1" spans="1:12">
      <c r="A1" s="15" t="s">
        <v>23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="12" customFormat="1" ht="60" customHeight="1" spans="1:12">
      <c r="A2" s="16" t="s">
        <v>24</v>
      </c>
      <c r="B2" s="17" t="s">
        <v>25</v>
      </c>
      <c r="C2" s="16" t="s">
        <v>26</v>
      </c>
      <c r="D2" s="18" t="s">
        <v>27</v>
      </c>
      <c r="E2" s="19" t="s">
        <v>28</v>
      </c>
      <c r="F2" s="19" t="s">
        <v>29</v>
      </c>
      <c r="G2" s="19" t="s">
        <v>30</v>
      </c>
      <c r="H2" s="19" t="s">
        <v>31</v>
      </c>
      <c r="I2" s="19" t="s">
        <v>32</v>
      </c>
      <c r="J2" s="20" t="s">
        <v>33</v>
      </c>
      <c r="K2" s="20" t="s">
        <v>34</v>
      </c>
      <c r="L2" s="16" t="s">
        <v>35</v>
      </c>
    </row>
    <row r="3" s="13" customFormat="1" ht="154" customHeight="1" spans="1:12">
      <c r="A3" s="21">
        <v>1</v>
      </c>
      <c r="B3" s="22" t="s">
        <v>17</v>
      </c>
      <c r="C3" s="23" t="s">
        <v>36</v>
      </c>
      <c r="D3" s="22" t="s">
        <v>37</v>
      </c>
      <c r="E3" s="24" t="s">
        <v>38</v>
      </c>
      <c r="F3" s="24" t="s">
        <v>39</v>
      </c>
      <c r="G3" s="25" t="s">
        <v>40</v>
      </c>
      <c r="H3" s="26" t="s">
        <v>41</v>
      </c>
      <c r="I3" s="27" t="s">
        <v>42</v>
      </c>
      <c r="J3" s="25" t="s">
        <v>42</v>
      </c>
      <c r="K3" s="28">
        <f>SUM(E3:J3)</f>
        <v>0</v>
      </c>
      <c r="L3" s="25" t="s">
        <v>43</v>
      </c>
    </row>
    <row r="4" s="13" customFormat="1" ht="48" customHeight="1" spans="1:12">
      <c r="A4" s="21">
        <v>2</v>
      </c>
      <c r="B4" s="22" t="s">
        <v>17</v>
      </c>
      <c r="C4" s="29" t="s">
        <v>44</v>
      </c>
      <c r="D4" s="22" t="s">
        <v>45</v>
      </c>
      <c r="E4" s="24" t="s">
        <v>46</v>
      </c>
      <c r="F4" s="30" t="s">
        <v>47</v>
      </c>
      <c r="G4" s="25" t="s">
        <v>42</v>
      </c>
      <c r="H4" s="25" t="s">
        <v>42</v>
      </c>
      <c r="I4" s="27" t="s">
        <v>42</v>
      </c>
      <c r="J4" s="27" t="s">
        <v>42</v>
      </c>
      <c r="K4" s="28">
        <f>SUM(E4:J4)</f>
        <v>0</v>
      </c>
      <c r="L4" s="25"/>
    </row>
    <row r="5" s="11" customFormat="1" ht="46" customHeight="1" spans="1:12">
      <c r="A5" s="31" t="s">
        <v>48</v>
      </c>
      <c r="B5" s="32" t="s">
        <v>49</v>
      </c>
      <c r="C5" s="32" t="s">
        <v>49</v>
      </c>
      <c r="D5" s="32" t="s">
        <v>49</v>
      </c>
      <c r="E5" s="33">
        <v>627</v>
      </c>
      <c r="F5" s="33">
        <f>SUM(F3:F4)</f>
        <v>0</v>
      </c>
      <c r="G5" s="33">
        <f>SUM(G3:G4)</f>
        <v>0</v>
      </c>
      <c r="H5" s="33">
        <f>SUM(H3:H4)</f>
        <v>0</v>
      </c>
      <c r="I5" s="33">
        <f>SUM(I3:I4)</f>
        <v>0</v>
      </c>
      <c r="J5" s="33" t="s">
        <v>42</v>
      </c>
      <c r="K5" s="34">
        <f>SUM(E5:J5)</f>
        <v>627</v>
      </c>
      <c r="L5" s="35"/>
    </row>
    <row r="6" s="11" customFormat="1" ht="40" customHeight="1" spans="1:12">
      <c r="A6" s="36" t="s">
        <v>50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8"/>
    </row>
    <row r="7" s="12" customFormat="1" ht="64" customHeight="1" spans="1:12">
      <c r="A7" s="39" t="s">
        <v>24</v>
      </c>
      <c r="B7" s="40" t="s">
        <v>51</v>
      </c>
      <c r="C7" s="39" t="s">
        <v>52</v>
      </c>
      <c r="D7" s="40" t="s">
        <v>53</v>
      </c>
      <c r="E7" s="40" t="s">
        <v>54</v>
      </c>
      <c r="F7" s="40" t="s">
        <v>55</v>
      </c>
      <c r="G7" s="41" t="s">
        <v>56</v>
      </c>
      <c r="H7" s="40" t="s">
        <v>35</v>
      </c>
      <c r="I7" s="40"/>
      <c r="J7" s="42"/>
      <c r="K7" s="42"/>
      <c r="L7" s="39"/>
    </row>
    <row r="8" s="11" customFormat="1" ht="25" customHeight="1" spans="1:12">
      <c r="A8" s="32">
        <v>1</v>
      </c>
      <c r="B8" s="43" t="s">
        <v>57</v>
      </c>
      <c r="C8" s="44"/>
      <c r="D8" s="44"/>
      <c r="E8" s="44"/>
      <c r="F8" s="44"/>
      <c r="G8" s="44"/>
      <c r="H8" s="45"/>
      <c r="I8" s="46"/>
      <c r="J8" s="46"/>
      <c r="K8" s="46"/>
      <c r="L8" s="47"/>
    </row>
    <row r="9" s="11" customFormat="1" ht="45" customHeight="1" spans="1:12">
      <c r="A9" s="48" t="s">
        <v>58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</row>
  </sheetData>
  <mergeCells count="4">
    <mergeCell ref="A1:L1"/>
    <mergeCell ref="A6:L6"/>
    <mergeCell ref="B8:H8"/>
    <mergeCell ref="A9:L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VQ9"/>
  <sheetViews>
    <sheetView zoomScale="80" zoomScaleNormal="80" workbookViewId="0">
      <selection activeCell="F4" sqref="F4"/>
    </sheetView>
  </sheetViews>
  <sheetFormatPr defaultColWidth="9" defaultRowHeight="14"/>
  <cols>
    <col min="2" max="2" width="47.3636363636364" customWidth="1"/>
    <col min="3" max="3" width="25.1818181818182" customWidth="1"/>
    <col min="4" max="4" width="22.9090909090909" customWidth="1"/>
    <col min="5" max="5" width="10.3636363636364" customWidth="1"/>
    <col min="6" max="6" width="38.5454545454545" customWidth="1"/>
    <col min="7" max="7" width="32.8181818181818" style="2" customWidth="1"/>
    <col min="8" max="8" width="20.9090909090909" customWidth="1"/>
  </cols>
  <sheetData>
    <row r="1" s="1" customFormat="1" ht="24" spans="1:10">
      <c r="A1" s="3" t="s">
        <v>59</v>
      </c>
      <c r="B1" s="3"/>
      <c r="C1" s="3"/>
      <c r="D1" s="3"/>
      <c r="E1" s="3"/>
      <c r="F1" s="3"/>
      <c r="G1" s="3"/>
      <c r="H1" s="3"/>
      <c r="I1" s="3"/>
      <c r="J1" s="3"/>
    </row>
    <row r="2" ht="55" customHeight="1" spans="1:10">
      <c r="A2" s="4" t="s">
        <v>60</v>
      </c>
      <c r="B2" s="4" t="s">
        <v>61</v>
      </c>
      <c r="C2" s="4" t="s">
        <v>62</v>
      </c>
      <c r="D2" s="4" t="s">
        <v>63</v>
      </c>
      <c r="E2" s="4" t="s">
        <v>64</v>
      </c>
      <c r="F2" s="4" t="s">
        <v>65</v>
      </c>
      <c r="G2" s="4" t="s">
        <v>66</v>
      </c>
      <c r="H2" s="4" t="s">
        <v>67</v>
      </c>
      <c r="I2" s="4" t="s">
        <v>68</v>
      </c>
      <c r="J2" s="4" t="s">
        <v>69</v>
      </c>
    </row>
    <row r="3" ht="15.5" customHeight="1" spans="1:10">
      <c r="A3" s="4">
        <v>1</v>
      </c>
      <c r="B3" s="4" t="s">
        <v>16</v>
      </c>
      <c r="C3" s="5" t="s">
        <v>70</v>
      </c>
      <c r="D3" s="4" t="s">
        <v>71</v>
      </c>
      <c r="E3" s="4" t="s">
        <v>72</v>
      </c>
      <c r="F3" s="5" t="s">
        <v>73</v>
      </c>
      <c r="G3" s="5">
        <v>1400</v>
      </c>
      <c r="H3" s="5"/>
      <c r="I3" s="6"/>
      <c r="J3" s="5"/>
    </row>
    <row r="4" ht="38" customHeight="1" spans="1:10">
      <c r="A4" s="4"/>
      <c r="B4" s="4" t="s">
        <v>16</v>
      </c>
      <c r="C4" s="5" t="s">
        <v>70</v>
      </c>
      <c r="D4" s="4" t="s">
        <v>71</v>
      </c>
      <c r="E4" s="4" t="s">
        <v>74</v>
      </c>
      <c r="F4" s="5">
        <v>0</v>
      </c>
      <c r="G4" s="10" t="s">
        <v>75</v>
      </c>
      <c r="H4" s="5"/>
      <c r="I4" s="7"/>
      <c r="J4" s="5"/>
    </row>
    <row r="5" spans="1:10">
      <c r="A5" s="4"/>
      <c r="B5" s="4" t="s">
        <v>76</v>
      </c>
      <c r="C5" s="5"/>
      <c r="D5" s="5"/>
      <c r="E5" s="5"/>
      <c r="F5" s="5">
        <v>0</v>
      </c>
      <c r="G5" s="5">
        <v>3200</v>
      </c>
      <c r="H5" s="5"/>
      <c r="I5" s="7"/>
      <c r="J5" s="5"/>
    </row>
    <row r="6" spans="1:10">
      <c r="A6" s="5"/>
      <c r="B6" s="4" t="s">
        <v>48</v>
      </c>
      <c r="C6" s="5"/>
      <c r="D6" s="5"/>
      <c r="E6" s="5"/>
      <c r="F6" s="5">
        <v>0</v>
      </c>
      <c r="G6" s="5">
        <v>3200</v>
      </c>
      <c r="H6" s="5"/>
      <c r="I6" s="8"/>
      <c r="J6" s="5"/>
    </row>
    <row r="7" ht="15.5" customHeight="1" spans="1:10">
      <c r="A7" s="9" t="s">
        <v>77</v>
      </c>
      <c r="B7" s="9"/>
      <c r="C7" s="9"/>
      <c r="D7" s="9"/>
      <c r="E7" s="9"/>
      <c r="F7" s="9"/>
      <c r="G7" s="9"/>
      <c r="H7" s="9"/>
      <c r="I7" s="9"/>
      <c r="J7" s="5"/>
    </row>
    <row r="8" ht="26.75" customHeight="1" spans="1:10">
      <c r="A8" s="9" t="s">
        <v>78</v>
      </c>
      <c r="B8" s="9"/>
      <c r="C8" s="9"/>
      <c r="D8" s="9"/>
      <c r="E8" s="9"/>
      <c r="F8" s="9"/>
      <c r="G8" s="9"/>
      <c r="H8" s="9"/>
      <c r="I8" s="9"/>
      <c r="J8" s="5"/>
    </row>
    <row r="9" ht="80" customHeight="1" spans="1:10">
      <c r="A9" s="9" t="s">
        <v>79</v>
      </c>
      <c r="B9" s="9"/>
      <c r="C9" s="9"/>
      <c r="D9" s="9"/>
      <c r="E9" s="9"/>
      <c r="F9" s="9"/>
      <c r="G9" s="4"/>
      <c r="H9" s="9"/>
      <c r="I9" s="9"/>
      <c r="J9" s="9"/>
    </row>
  </sheetData>
  <mergeCells count="70">
    <mergeCell ref="A1:J1"/>
    <mergeCell ref="IW1:JE1"/>
    <mergeCell ref="SS1:TA1"/>
    <mergeCell ref="ACO1:ACW1"/>
    <mergeCell ref="AMK1:AMS1"/>
    <mergeCell ref="AWG1:AWO1"/>
    <mergeCell ref="BGC1:BGK1"/>
    <mergeCell ref="BPY1:BQG1"/>
    <mergeCell ref="BZU1:CAC1"/>
    <mergeCell ref="CJQ1:CJY1"/>
    <mergeCell ref="CTM1:CTU1"/>
    <mergeCell ref="DDI1:DDQ1"/>
    <mergeCell ref="DNE1:DNM1"/>
    <mergeCell ref="DXA1:DXI1"/>
    <mergeCell ref="EGW1:EHE1"/>
    <mergeCell ref="EQS1:ERA1"/>
    <mergeCell ref="FAO1:FAW1"/>
    <mergeCell ref="FKK1:FKS1"/>
    <mergeCell ref="FUG1:FUO1"/>
    <mergeCell ref="GEC1:GEK1"/>
    <mergeCell ref="GNY1:GOG1"/>
    <mergeCell ref="GXU1:GYC1"/>
    <mergeCell ref="HHQ1:HHY1"/>
    <mergeCell ref="HRM1:HRU1"/>
    <mergeCell ref="IBI1:IBQ1"/>
    <mergeCell ref="ILE1:ILM1"/>
    <mergeCell ref="IVA1:IVI1"/>
    <mergeCell ref="JEW1:JFE1"/>
    <mergeCell ref="JOS1:JPA1"/>
    <mergeCell ref="JYO1:JYW1"/>
    <mergeCell ref="KIK1:KIS1"/>
    <mergeCell ref="KSG1:KSO1"/>
    <mergeCell ref="LCC1:LCK1"/>
    <mergeCell ref="LLY1:LMG1"/>
    <mergeCell ref="LVU1:LWC1"/>
    <mergeCell ref="MFQ1:MFY1"/>
    <mergeCell ref="MPM1:MPU1"/>
    <mergeCell ref="MZI1:MZQ1"/>
    <mergeCell ref="NJE1:NJM1"/>
    <mergeCell ref="NTA1:NTI1"/>
    <mergeCell ref="OCW1:ODE1"/>
    <mergeCell ref="OMS1:ONA1"/>
    <mergeCell ref="OWO1:OWW1"/>
    <mergeCell ref="PGK1:PGS1"/>
    <mergeCell ref="PQG1:PQO1"/>
    <mergeCell ref="QAC1:QAK1"/>
    <mergeCell ref="QJY1:QKG1"/>
    <mergeCell ref="QTU1:QUC1"/>
    <mergeCell ref="RDQ1:RDY1"/>
    <mergeCell ref="RNM1:RNU1"/>
    <mergeCell ref="RXI1:RXQ1"/>
    <mergeCell ref="SHE1:SHM1"/>
    <mergeCell ref="SRA1:SRI1"/>
    <mergeCell ref="TAW1:TBE1"/>
    <mergeCell ref="TKS1:TLA1"/>
    <mergeCell ref="TUO1:TUW1"/>
    <mergeCell ref="UEK1:UES1"/>
    <mergeCell ref="UOG1:UOO1"/>
    <mergeCell ref="UYC1:UYK1"/>
    <mergeCell ref="VHY1:VIG1"/>
    <mergeCell ref="VRU1:VSC1"/>
    <mergeCell ref="WBQ1:WBY1"/>
    <mergeCell ref="WLM1:WLU1"/>
    <mergeCell ref="WVI1:WVQ1"/>
    <mergeCell ref="A7:I7"/>
    <mergeCell ref="A8:I8"/>
    <mergeCell ref="A9:J9"/>
    <mergeCell ref="A3:A5"/>
    <mergeCell ref="I3:I6"/>
    <mergeCell ref="J3:J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VQ8"/>
  <sheetViews>
    <sheetView workbookViewId="0">
      <selection activeCell="A8" sqref="A8:J8"/>
    </sheetView>
  </sheetViews>
  <sheetFormatPr defaultColWidth="9" defaultRowHeight="14" outlineLevelRow="7"/>
  <cols>
    <col min="2" max="2" width="47.3636363636364" customWidth="1"/>
    <col min="3" max="3" width="25.1818181818182" customWidth="1"/>
    <col min="4" max="4" width="22.9090909090909" customWidth="1"/>
    <col min="5" max="5" width="10.3636363636364" customWidth="1"/>
    <col min="7" max="7" width="32.8181818181818" style="2" customWidth="1"/>
    <col min="8" max="8" width="20.9090909090909" customWidth="1"/>
  </cols>
  <sheetData>
    <row r="1" s="1" customFormat="1" ht="24" spans="1:10">
      <c r="A1" s="3" t="s">
        <v>59</v>
      </c>
      <c r="B1" s="3"/>
      <c r="C1" s="3"/>
      <c r="D1" s="3"/>
      <c r="E1" s="3"/>
      <c r="F1" s="3"/>
      <c r="G1" s="3"/>
      <c r="H1" s="3"/>
      <c r="I1" s="3"/>
      <c r="J1" s="3"/>
    </row>
    <row r="2" ht="55" customHeight="1" spans="1:10">
      <c r="A2" s="4" t="s">
        <v>60</v>
      </c>
      <c r="B2" s="4" t="s">
        <v>61</v>
      </c>
      <c r="C2" s="4" t="s">
        <v>62</v>
      </c>
      <c r="D2" s="4" t="s">
        <v>63</v>
      </c>
      <c r="E2" s="4" t="s">
        <v>64</v>
      </c>
      <c r="F2" s="4" t="s">
        <v>65</v>
      </c>
      <c r="G2" s="4" t="s">
        <v>66</v>
      </c>
      <c r="H2" s="4" t="s">
        <v>67</v>
      </c>
      <c r="I2" s="4" t="s">
        <v>68</v>
      </c>
      <c r="J2" s="4" t="s">
        <v>69</v>
      </c>
    </row>
    <row r="3" ht="15.5" customHeight="1" spans="1:10">
      <c r="A3" s="4">
        <v>1</v>
      </c>
      <c r="B3" s="4" t="s">
        <v>80</v>
      </c>
      <c r="C3" s="5" t="s">
        <v>81</v>
      </c>
      <c r="D3" s="4" t="s">
        <v>82</v>
      </c>
      <c r="E3" s="4" t="s">
        <v>83</v>
      </c>
      <c r="F3" s="5">
        <v>1</v>
      </c>
      <c r="G3" s="5">
        <v>5000</v>
      </c>
      <c r="H3" s="5"/>
      <c r="I3" s="6"/>
      <c r="J3" s="5"/>
    </row>
    <row r="4" spans="1:10">
      <c r="A4" s="4"/>
      <c r="B4" s="4" t="s">
        <v>76</v>
      </c>
      <c r="C4" s="5"/>
      <c r="D4" s="5"/>
      <c r="E4" s="5"/>
      <c r="F4" s="5">
        <v>0</v>
      </c>
      <c r="G4" s="5">
        <v>5000</v>
      </c>
      <c r="H4" s="5"/>
      <c r="I4" s="7"/>
      <c r="J4" s="5"/>
    </row>
    <row r="5" spans="1:10">
      <c r="A5" s="5"/>
      <c r="B5" s="4" t="s">
        <v>48</v>
      </c>
      <c r="C5" s="5"/>
      <c r="D5" s="5"/>
      <c r="E5" s="5"/>
      <c r="F5" s="5">
        <v>0</v>
      </c>
      <c r="G5" s="5">
        <v>5000</v>
      </c>
      <c r="H5" s="5"/>
      <c r="I5" s="8"/>
      <c r="J5" s="5"/>
    </row>
    <row r="6" ht="15.5" customHeight="1" spans="1:10">
      <c r="A6" s="9" t="s">
        <v>84</v>
      </c>
      <c r="B6" s="9"/>
      <c r="C6" s="9"/>
      <c r="D6" s="9"/>
      <c r="E6" s="9"/>
      <c r="F6" s="9"/>
      <c r="G6" s="9"/>
      <c r="H6" s="9"/>
      <c r="I6" s="9"/>
      <c r="J6" s="5"/>
    </row>
    <row r="7" ht="26.75" customHeight="1" spans="1:10">
      <c r="A7" s="9" t="s">
        <v>85</v>
      </c>
      <c r="B7" s="9"/>
      <c r="C7" s="9"/>
      <c r="D7" s="9"/>
      <c r="E7" s="9"/>
      <c r="F7" s="9"/>
      <c r="G7" s="9"/>
      <c r="H7" s="9"/>
      <c r="I7" s="9"/>
      <c r="J7" s="5"/>
    </row>
    <row r="8" ht="80" customHeight="1" spans="1:10">
      <c r="A8" s="9" t="s">
        <v>79</v>
      </c>
      <c r="B8" s="9"/>
      <c r="C8" s="9"/>
      <c r="D8" s="9"/>
      <c r="E8" s="9"/>
      <c r="F8" s="9"/>
      <c r="G8" s="4"/>
      <c r="H8" s="9"/>
      <c r="I8" s="9"/>
      <c r="J8" s="9"/>
    </row>
  </sheetData>
  <mergeCells count="70">
    <mergeCell ref="A1:J1"/>
    <mergeCell ref="IW1:JE1"/>
    <mergeCell ref="SS1:TA1"/>
    <mergeCell ref="ACO1:ACW1"/>
    <mergeCell ref="AMK1:AMS1"/>
    <mergeCell ref="AWG1:AWO1"/>
    <mergeCell ref="BGC1:BGK1"/>
    <mergeCell ref="BPY1:BQG1"/>
    <mergeCell ref="BZU1:CAC1"/>
    <mergeCell ref="CJQ1:CJY1"/>
    <mergeCell ref="CTM1:CTU1"/>
    <mergeCell ref="DDI1:DDQ1"/>
    <mergeCell ref="DNE1:DNM1"/>
    <mergeCell ref="DXA1:DXI1"/>
    <mergeCell ref="EGW1:EHE1"/>
    <mergeCell ref="EQS1:ERA1"/>
    <mergeCell ref="FAO1:FAW1"/>
    <mergeCell ref="FKK1:FKS1"/>
    <mergeCell ref="FUG1:FUO1"/>
    <mergeCell ref="GEC1:GEK1"/>
    <mergeCell ref="GNY1:GOG1"/>
    <mergeCell ref="GXU1:GYC1"/>
    <mergeCell ref="HHQ1:HHY1"/>
    <mergeCell ref="HRM1:HRU1"/>
    <mergeCell ref="IBI1:IBQ1"/>
    <mergeCell ref="ILE1:ILM1"/>
    <mergeCell ref="IVA1:IVI1"/>
    <mergeCell ref="JEW1:JFE1"/>
    <mergeCell ref="JOS1:JPA1"/>
    <mergeCell ref="JYO1:JYW1"/>
    <mergeCell ref="KIK1:KIS1"/>
    <mergeCell ref="KSG1:KSO1"/>
    <mergeCell ref="LCC1:LCK1"/>
    <mergeCell ref="LLY1:LMG1"/>
    <mergeCell ref="LVU1:LWC1"/>
    <mergeCell ref="MFQ1:MFY1"/>
    <mergeCell ref="MPM1:MPU1"/>
    <mergeCell ref="MZI1:MZQ1"/>
    <mergeCell ref="NJE1:NJM1"/>
    <mergeCell ref="NTA1:NTI1"/>
    <mergeCell ref="OCW1:ODE1"/>
    <mergeCell ref="OMS1:ONA1"/>
    <mergeCell ref="OWO1:OWW1"/>
    <mergeCell ref="PGK1:PGS1"/>
    <mergeCell ref="PQG1:PQO1"/>
    <mergeCell ref="QAC1:QAK1"/>
    <mergeCell ref="QJY1:QKG1"/>
    <mergeCell ref="QTU1:QUC1"/>
    <mergeCell ref="RDQ1:RDY1"/>
    <mergeCell ref="RNM1:RNU1"/>
    <mergeCell ref="RXI1:RXQ1"/>
    <mergeCell ref="SHE1:SHM1"/>
    <mergeCell ref="SRA1:SRI1"/>
    <mergeCell ref="TAW1:TBE1"/>
    <mergeCell ref="TKS1:TLA1"/>
    <mergeCell ref="TUO1:TUW1"/>
    <mergeCell ref="UEK1:UES1"/>
    <mergeCell ref="UOG1:UOO1"/>
    <mergeCell ref="UYC1:UYK1"/>
    <mergeCell ref="VHY1:VIG1"/>
    <mergeCell ref="VRU1:VSC1"/>
    <mergeCell ref="WBQ1:WBY1"/>
    <mergeCell ref="WLM1:WLU1"/>
    <mergeCell ref="WVI1:WVQ1"/>
    <mergeCell ref="A6:I6"/>
    <mergeCell ref="A7:I7"/>
    <mergeCell ref="A8:J8"/>
    <mergeCell ref="A3:A4"/>
    <mergeCell ref="I3:I5"/>
    <mergeCell ref="J3:J7"/>
  </mergeCells>
  <pageMargins left="0.75" right="0.75" top="1" bottom="1" header="0.5" footer="0.5"/>
  <pageSetup paperSize="9" scale="67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WWO_wpscloud_20250621111426-0b8da3df69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表1-费用统计-此表无需打印</vt:lpstr>
      <vt:lpstr>表2—差旅费报账明细表（工程出差+成本出差都需要打印）</vt:lpstr>
      <vt:lpstr>表3工程联调测试费报销情况表-仅工程出差需打印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财务会计部综合员</dc:creator>
  <cp:lastModifiedBy>(o´ω`o)想吃菠萝啦</cp:lastModifiedBy>
  <dcterms:created xsi:type="dcterms:W3CDTF">2023-02-23T18:25:00Z</dcterms:created>
  <cp:lastPrinted>2024-01-05T18:57:00Z</cp:lastPrinted>
  <dcterms:modified xsi:type="dcterms:W3CDTF">2026-01-29T05:55:46Z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3AAD154AC42248FA8E05046F271DFFCF_13</vt:lpwstr>
  </property>
  <property fmtid="{D5CDD505-2E9C-101B-9397-08002B2CF9AE}" pid="4" name="CalculationRule">
    <vt:i4>0</vt:i4>
  </property>
</Properties>
</file>